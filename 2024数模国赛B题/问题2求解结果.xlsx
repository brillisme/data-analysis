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<sst xmlns="http://schemas.openxmlformats.org/spreadsheetml/2006/main" count="52" uniqueCount="19">
  <si>
    <t>情况</t>
  </si>
  <si>
    <t>方案1成本</t>
  </si>
  <si>
    <t>方案1纯利润</t>
  </si>
  <si>
    <t>方案2成本</t>
  </si>
  <si>
    <t>方案2纯利润</t>
  </si>
  <si>
    <t>方案3成本</t>
  </si>
  <si>
    <t>方案3纯利润</t>
  </si>
  <si>
    <t>方案4成本</t>
  </si>
  <si>
    <t>方案4纯利润</t>
  </si>
  <si>
    <t>方案1纯利润/成本</t>
  </si>
  <si>
    <t>方案2纯利润/成本</t>
  </si>
  <si>
    <t>方案3纯利润/成本</t>
  </si>
  <si>
    <t>方案4纯利润/成本</t>
  </si>
  <si>
    <t>是否检验零件1</t>
  </si>
  <si>
    <t>是否检验零件2</t>
  </si>
  <si>
    <t>是否检验成品</t>
  </si>
  <si>
    <t>是否拆解</t>
  </si>
  <si>
    <t>是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</si>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</sst>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Sheet1!$K$2</c:f>
              <c:strCache>
                <c:ptCount val="1"/>
                <c:pt idx="0">
                  <c:v>方案1成本</c:v>
                </c:pt>
              </c:strCache>
            </c:strRef>
          </c:tx>
          <c:spPr>
            <a:solidFill>
              <a:schemeClr val="accent1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Sheet1!$L$2:$Q$2</c:f>
              <c:numCache>
                <c:formatCode>General</c:formatCode>
                <c:ptCount val="6"/>
                <c:pt idx="0">
                  <c:v>1728</c:v>
                </c:pt>
                <c:pt idx="1">
                  <c:v>2012</c:v>
                </c:pt>
                <c:pt idx="2">
                  <c:v>1728</c:v>
                </c:pt>
                <c:pt idx="3">
                  <c:v>1632</c:v>
                </c:pt>
                <c:pt idx="4">
                  <c:v>1514.4</c:v>
                </c:pt>
                <c:pt idx="5">
                  <c:v>1569.5</c:v>
                </c:pt>
              </c:numCache>
            </c:numRef>
          </c:val>
        </c:ser>
        <c:ser>
          <c:idx val="3"/>
          <c:order val="3"/>
          <c:tx>
            <c:strRef>
              <c:f>Sheet1!$K$4</c:f>
              <c:strCache>
                <c:ptCount val="1"/>
                <c:pt idx="0">
                  <c:v>方案2成本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Sheet1!$L$4:$Q$4</c:f>
              <c:numCache>
                <c:formatCode>General</c:formatCode>
                <c:ptCount val="6"/>
                <c:pt idx="0">
                  <c:v>1638</c:v>
                </c:pt>
                <c:pt idx="1">
                  <c:v>2092</c:v>
                </c:pt>
                <c:pt idx="2">
                  <c:v>1854</c:v>
                </c:pt>
                <c:pt idx="3">
                  <c:v>2160</c:v>
                </c:pt>
                <c:pt idx="4">
                  <c:v>1704</c:v>
                </c:pt>
                <c:pt idx="5">
                  <c:v>1479.3</c:v>
                </c:pt>
              </c:numCache>
            </c:numRef>
          </c:val>
        </c:ser>
        <c:ser>
          <c:idx val="5"/>
          <c:order val="5"/>
          <c:tx>
            <c:strRef>
              <c:f>Sheet1!$K$6</c:f>
              <c:strCache>
                <c:ptCount val="1"/>
                <c:pt idx="0">
                  <c:v>方案3成本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Sheet1!$L$6:$Q$6</c:f>
              <c:numCache>
                <c:formatCode>General</c:formatCode>
                <c:ptCount val="6"/>
                <c:pt idx="0">
                  <c:v>1496.2</c:v>
                </c:pt>
                <c:pt idx="1">
                  <c:v>1973.6</c:v>
                </c:pt>
                <c:pt idx="2">
                  <c:v>1496.2</c:v>
                </c:pt>
                <c:pt idx="3">
                  <c:v>1873.6</c:v>
                </c:pt>
                <c:pt idx="4">
                  <c:v>1574.4</c:v>
                </c:pt>
                <c:pt idx="5">
                  <c:v>1213.8</c:v>
                </c:pt>
              </c:numCache>
            </c:numRef>
          </c:val>
        </c:ser>
        <c:ser>
          <c:idx val="7"/>
          <c:order val="7"/>
          <c:tx>
            <c:strRef>
              <c:f>Sheet1!$K$8</c:f>
              <c:strCache>
                <c:ptCount val="1"/>
                <c:pt idx="0">
                  <c:v>方案4成本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Sheet1!$L$8:$Q$8</c:f>
              <c:numCache>
                <c:formatCode>General</c:formatCode>
                <c:ptCount val="6"/>
                <c:pt idx="0">
                  <c:v>1738.2</c:v>
                </c:pt>
                <c:pt idx="1">
                  <c:v>2649.6</c:v>
                </c:pt>
                <c:pt idx="2">
                  <c:v>2388.6</c:v>
                </c:pt>
                <c:pt idx="3">
                  <c:v>3772</c:v>
                </c:pt>
                <c:pt idx="4">
                  <c:v>2184</c:v>
                </c:pt>
                <c:pt idx="5">
                  <c:v>1498.5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0869295"/>
        <c:axId val="183086209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Sheet1!$K$1</c15:sqref>
                        </c15:formulaRef>
                      </c:ext>
                    </c:extLst>
                    <c:strCache>
                      <c:ptCount val="1"/>
                      <c:pt idx="0">
                        <c:v>情况</c:v>
                      </c:pt>
                    </c:strCache>
                  </c:strRef>
                </c:tx>
                <c:spPr>
                  <a:solidFill>
                    <a:schemeClr val="accent1">
                      <a:tint val="44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Sheet1!$L$1:$Q$1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Sheet1!$K$3</c15:sqref>
                        </c15:formulaRef>
                      </c:ext>
                    </c:extLst>
                    <c:strCache>
                      <c:ptCount val="1"/>
                      <c:pt idx="0">
                        <c:v>方案1纯利润</c:v>
                      </c:pt>
                    </c:strCache>
                  </c:strRef>
                </c:tx>
                <c:spPr>
                  <a:solidFill>
                    <a:schemeClr val="accent1">
                      <a:tint val="72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Sheet1!$L$3:$Q$3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1026</c:v>
                      </c:pt>
                      <c:pt idx="1">
                        <c:v>164</c:v>
                      </c:pt>
                      <c:pt idx="2">
                        <c:v>1026</c:v>
                      </c:pt>
                      <c:pt idx="3">
                        <c:v>544</c:v>
                      </c:pt>
                      <c:pt idx="4">
                        <c:v>688.8</c:v>
                      </c:pt>
                      <c:pt idx="5">
                        <c:v>1499</c:v>
                      </c:pt>
                    </c:numCache>
                  </c:numRef>
                </c:val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Sheet1!$K$5</c15:sqref>
                        </c15:formulaRef>
                      </c:ext>
                    </c:extLst>
                    <c:strCache>
                      <c:ptCount val="1"/>
                      <c:pt idx="0">
                        <c:v>方案2纯利润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Sheet1!$L$5:$Q$5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1422</c:v>
                      </c:pt>
                      <c:pt idx="1">
                        <c:v>628</c:v>
                      </c:pt>
                      <c:pt idx="2">
                        <c:v>1206</c:v>
                      </c:pt>
                      <c:pt idx="3">
                        <c:v>560</c:v>
                      </c:pt>
                      <c:pt idx="4">
                        <c:v>1016</c:v>
                      </c:pt>
                      <c:pt idx="5">
                        <c:v>1750.8</c:v>
                      </c:pt>
                    </c:numCache>
                  </c:numRef>
                </c:val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Sheet1!$K$7</c15:sqref>
                        </c15:formulaRef>
                      </c:ext>
                    </c:extLst>
                    <c:strCache>
                      <c:ptCount val="1"/>
                      <c:pt idx="0">
                        <c:v>方案3纯利润</c:v>
                      </c:pt>
                    </c:strCache>
                  </c:strRef>
                </c:tx>
                <c:spPr>
                  <a:solidFill>
                    <a:schemeClr val="accent1">
                      <a:shade val="72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Sheet1!$L$7:$Q$7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982.4</c:v>
                      </c:pt>
                      <c:pt idx="1">
                        <c:v>-232.8</c:v>
                      </c:pt>
                      <c:pt idx="2">
                        <c:v>982.4</c:v>
                      </c:pt>
                      <c:pt idx="3">
                        <c:v>-132.8</c:v>
                      </c:pt>
                      <c:pt idx="4">
                        <c:v>628.8</c:v>
                      </c:pt>
                      <c:pt idx="5">
                        <c:v>1701.3</c:v>
                      </c:pt>
                    </c:numCache>
                  </c:numRef>
                </c:val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Sheet1!$K$9</c15:sqref>
                        </c15:formulaRef>
                      </c:ext>
                    </c:extLst>
                    <c:strCache>
                      <c:ptCount val="1"/>
                      <c:pt idx="0">
                        <c:v>方案4纯利润</c:v>
                      </c:pt>
                    </c:strCache>
                  </c:strRef>
                </c:tx>
                <c:spPr>
                  <a:solidFill>
                    <a:schemeClr val="accent1">
                      <a:shade val="44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Sheet1!$L$9:$Q$9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1661.8</c:v>
                      </c:pt>
                      <c:pt idx="1">
                        <c:v>750.4</c:v>
                      </c:pt>
                      <c:pt idx="2">
                        <c:v>1011.4</c:v>
                      </c:pt>
                      <c:pt idx="3">
                        <c:v>-372</c:v>
                      </c:pt>
                      <c:pt idx="4">
                        <c:v>1216</c:v>
                      </c:pt>
                      <c:pt idx="5">
                        <c:v>1901.5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183086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30862095"/>
        <c:crosses val="autoZero"/>
        <c:auto val="1"/>
        <c:lblAlgn val="ctr"/>
        <c:lblOffset val="100"/>
        <c:noMultiLvlLbl val="0"/>
      </c:catAx>
      <c:valAx>
        <c:axId val="183086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3086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Sheet1!$K$3</c:f>
              <c:strCache>
                <c:ptCount val="1"/>
                <c:pt idx="0">
                  <c:v>方案1纯利润</c:v>
                </c:pt>
              </c:strCache>
            </c:strRef>
          </c:tx>
          <c:spPr>
            <a:solidFill>
              <a:schemeClr val="accent4">
                <a:tint val="72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Sheet1!$L$3:$Q$3</c:f>
              <c:numCache>
                <c:formatCode>General</c:formatCode>
                <c:ptCount val="6"/>
                <c:pt idx="0">
                  <c:v>1026</c:v>
                </c:pt>
                <c:pt idx="1">
                  <c:v>164</c:v>
                </c:pt>
                <c:pt idx="2">
                  <c:v>1026</c:v>
                </c:pt>
                <c:pt idx="3">
                  <c:v>544</c:v>
                </c:pt>
                <c:pt idx="4">
                  <c:v>688.8</c:v>
                </c:pt>
                <c:pt idx="5">
                  <c:v>1499</c:v>
                </c:pt>
              </c:numCache>
            </c:numRef>
          </c:val>
        </c:ser>
        <c:ser>
          <c:idx val="4"/>
          <c:order val="4"/>
          <c:tx>
            <c:strRef>
              <c:f>Sheet1!$K$5</c:f>
              <c:strCache>
                <c:ptCount val="1"/>
                <c:pt idx="0">
                  <c:v>方案2纯利润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Sheet1!$L$5:$Q$5</c:f>
              <c:numCache>
                <c:formatCode>General</c:formatCode>
                <c:ptCount val="6"/>
                <c:pt idx="0">
                  <c:v>1422</c:v>
                </c:pt>
                <c:pt idx="1">
                  <c:v>628</c:v>
                </c:pt>
                <c:pt idx="2">
                  <c:v>1206</c:v>
                </c:pt>
                <c:pt idx="3">
                  <c:v>560</c:v>
                </c:pt>
                <c:pt idx="4">
                  <c:v>1016</c:v>
                </c:pt>
                <c:pt idx="5">
                  <c:v>1750.8</c:v>
                </c:pt>
              </c:numCache>
            </c:numRef>
          </c:val>
        </c:ser>
        <c:ser>
          <c:idx val="6"/>
          <c:order val="6"/>
          <c:tx>
            <c:strRef>
              <c:f>Sheet1!$K$7</c:f>
              <c:strCache>
                <c:ptCount val="1"/>
                <c:pt idx="0">
                  <c:v>方案3纯利润</c:v>
                </c:pt>
              </c:strCache>
            </c:strRef>
          </c:tx>
          <c:spPr>
            <a:solidFill>
              <a:schemeClr val="accent4">
                <a:shade val="72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Sheet1!$L$7:$Q$7</c:f>
              <c:numCache>
                <c:formatCode>General</c:formatCode>
                <c:ptCount val="6"/>
                <c:pt idx="0">
                  <c:v>982.4</c:v>
                </c:pt>
                <c:pt idx="1">
                  <c:v>-232.8</c:v>
                </c:pt>
                <c:pt idx="2">
                  <c:v>982.4</c:v>
                </c:pt>
                <c:pt idx="3">
                  <c:v>-132.8</c:v>
                </c:pt>
                <c:pt idx="4">
                  <c:v>628.8</c:v>
                </c:pt>
                <c:pt idx="5">
                  <c:v>1701.3</c:v>
                </c:pt>
              </c:numCache>
            </c:numRef>
          </c:val>
        </c:ser>
        <c:ser>
          <c:idx val="8"/>
          <c:order val="8"/>
          <c:tx>
            <c:strRef>
              <c:f>Sheet1!$K$9</c:f>
              <c:strCache>
                <c:ptCount val="1"/>
                <c:pt idx="0">
                  <c:v>方案4纯利润</c:v>
                </c:pt>
              </c:strCache>
            </c:strRef>
          </c:tx>
          <c:spPr>
            <a:solidFill>
              <a:schemeClr val="accent4">
                <a:shade val="44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Sheet1!$L$9:$Q$9</c:f>
              <c:numCache>
                <c:formatCode>General</c:formatCode>
                <c:ptCount val="6"/>
                <c:pt idx="0">
                  <c:v>1661.8</c:v>
                </c:pt>
                <c:pt idx="1">
                  <c:v>750.4</c:v>
                </c:pt>
                <c:pt idx="2">
                  <c:v>1011.4</c:v>
                </c:pt>
                <c:pt idx="3">
                  <c:v>-372</c:v>
                </c:pt>
                <c:pt idx="4">
                  <c:v>1216</c:v>
                </c:pt>
                <c:pt idx="5">
                  <c:v>1901.5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0869295"/>
        <c:axId val="183086209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Sheet1!$K$1</c15:sqref>
                        </c15:formulaRef>
                      </c:ext>
                    </c:extLst>
                    <c:strCache>
                      <c:ptCount val="1"/>
                      <c:pt idx="0">
                        <c:v>情况</c:v>
                      </c:pt>
                    </c:strCache>
                  </c:strRef>
                </c:tx>
                <c:spPr>
                  <a:solidFill>
                    <a:schemeClr val="accent4">
                      <a:tint val="44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Sheet1!$L$1:$Q$1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Sheet1!$K$2</c15:sqref>
                        </c15:formulaRef>
                      </c:ext>
                    </c:extLst>
                    <c:strCache>
                      <c:ptCount val="1"/>
                      <c:pt idx="0">
                        <c:v>方案1成本</c:v>
                      </c:pt>
                    </c:strCache>
                  </c:strRef>
                </c:tx>
                <c:spPr>
                  <a:solidFill>
                    <a:schemeClr val="accent4">
                      <a:tint val="58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Sheet1!$L$2:$Q$2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1728</c:v>
                      </c:pt>
                      <c:pt idx="1">
                        <c:v>2012</c:v>
                      </c:pt>
                      <c:pt idx="2">
                        <c:v>1728</c:v>
                      </c:pt>
                      <c:pt idx="3">
                        <c:v>1632</c:v>
                      </c:pt>
                      <c:pt idx="4">
                        <c:v>1514.4</c:v>
                      </c:pt>
                      <c:pt idx="5">
                        <c:v>1569.5</c:v>
                      </c:pt>
                    </c:numCache>
                  </c:numRef>
                </c:val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Sheet1!$K$4</c15:sqref>
                        </c15:formulaRef>
                      </c:ext>
                    </c:extLst>
                    <c:strCache>
                      <c:ptCount val="1"/>
                      <c:pt idx="0">
                        <c:v>方案2成本</c:v>
                      </c:pt>
                    </c:strCache>
                  </c:strRef>
                </c:tx>
                <c:spPr>
                  <a:solidFill>
                    <a:schemeClr val="accent4">
                      <a:tint val="8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Sheet1!$L$4:$Q$4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1638</c:v>
                      </c:pt>
                      <c:pt idx="1">
                        <c:v>2092</c:v>
                      </c:pt>
                      <c:pt idx="2">
                        <c:v>1854</c:v>
                      </c:pt>
                      <c:pt idx="3">
                        <c:v>2160</c:v>
                      </c:pt>
                      <c:pt idx="4">
                        <c:v>1704</c:v>
                      </c:pt>
                      <c:pt idx="5">
                        <c:v>1479.3</c:v>
                      </c:pt>
                    </c:numCache>
                  </c:numRef>
                </c:val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Sheet1!$K$6</c15:sqref>
                        </c15:formulaRef>
                      </c:ext>
                    </c:extLst>
                    <c:strCache>
                      <c:ptCount val="1"/>
                      <c:pt idx="0">
                        <c:v>方案3成本</c:v>
                      </c:pt>
                    </c:strCache>
                  </c:strRef>
                </c:tx>
                <c:spPr>
                  <a:solidFill>
                    <a:schemeClr val="accent4">
                      <a:shade val="8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Sheet1!$L$6:$Q$6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1496.2</c:v>
                      </c:pt>
                      <c:pt idx="1">
                        <c:v>1973.6</c:v>
                      </c:pt>
                      <c:pt idx="2">
                        <c:v>1496.2</c:v>
                      </c:pt>
                      <c:pt idx="3">
                        <c:v>1873.6</c:v>
                      </c:pt>
                      <c:pt idx="4">
                        <c:v>1574.4</c:v>
                      </c:pt>
                      <c:pt idx="5">
                        <c:v>1213.8</c:v>
                      </c:pt>
                    </c:numCache>
                  </c:numRef>
                </c:val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Sheet1!$K$8</c15:sqref>
                        </c15:formulaRef>
                      </c:ext>
                    </c:extLst>
                    <c:strCache>
                      <c:ptCount val="1"/>
                      <c:pt idx="0">
                        <c:v>方案4成本</c:v>
                      </c:pt>
                    </c:strCache>
                  </c:strRef>
                </c:tx>
                <c:spPr>
                  <a:solidFill>
                    <a:schemeClr val="accent4">
                      <a:shade val="58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Sheet1!$L$8:$Q$8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1738.2</c:v>
                      </c:pt>
                      <c:pt idx="1">
                        <c:v>2649.6</c:v>
                      </c:pt>
                      <c:pt idx="2">
                        <c:v>2388.6</c:v>
                      </c:pt>
                      <c:pt idx="3">
                        <c:v>3772</c:v>
                      </c:pt>
                      <c:pt idx="4">
                        <c:v>2184</c:v>
                      </c:pt>
                      <c:pt idx="5">
                        <c:v>1498.5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183086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30862095"/>
        <c:crosses val="autoZero"/>
        <c:auto val="1"/>
        <c:lblAlgn val="ctr"/>
        <c:lblOffset val="100"/>
        <c:noMultiLvlLbl val="0"/>
      </c:catAx>
      <c:valAx>
        <c:axId val="183086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3086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255270</xdr:colOff>
      <xdr:row>10</xdr:row>
      <xdr:rowOff>41910</xdr:rowOff>
    </xdr:from>
    <xdr:to>
      <xdr:col>17</xdr:col>
      <xdr:colOff>262890</xdr:colOff>
      <xdr:row>25</xdr:row>
      <xdr:rowOff>171450</xdr:rowOff>
    </xdr:to>
    <xdr:graphicFrame>
      <xdr:nvGraphicFramePr>
        <xdr:cNvPr id="2" name="图表 1"/>
        <xdr:cNvGraphicFramePr/>
      </xdr:nvGraphicFramePr>
      <xdr:xfrm>
        <a:off x="9931400" y="1819910"/>
        <a:ext cx="5189220" cy="2796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281940</xdr:colOff>
      <xdr:row>26</xdr:row>
      <xdr:rowOff>7620</xdr:rowOff>
    </xdr:from>
    <xdr:to>
      <xdr:col>17</xdr:col>
      <xdr:colOff>266700</xdr:colOff>
      <xdr:row>41</xdr:row>
      <xdr:rowOff>121920</xdr:rowOff>
    </xdr:to>
    <xdr:graphicFrame>
      <xdr:nvGraphicFramePr>
        <xdr:cNvPr id="3" name="图表 2"/>
        <xdr:cNvGraphicFramePr/>
      </xdr:nvGraphicFramePr>
      <xdr:xfrm>
        <a:off x="9958070" y="4630420"/>
        <a:ext cx="5166360" cy="2781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tabSelected="1" workbookViewId="0">
      <selection activeCell="I18" sqref="I18"/>
    </sheetView>
  </sheetViews>
  <sheetFormatPr defaultColWidth="9" defaultRowHeight="14"/>
  <cols>
    <col min="1" max="1" width="5.66666666666667" customWidth="1"/>
    <col min="2" max="5" width="18.4416666666667" customWidth="1"/>
    <col min="6" max="6" width="10.775" customWidth="1"/>
    <col min="7" max="7" width="13" customWidth="1"/>
    <col min="8" max="8" width="10.775" customWidth="1"/>
    <col min="9" max="9" width="13" customWidth="1"/>
    <col min="11" max="11" width="13" customWidth="1"/>
    <col min="12" max="17" width="7.66666666666667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0</v>
      </c>
      <c r="L1">
        <v>1</v>
      </c>
      <c r="M1">
        <v>2</v>
      </c>
      <c r="N1">
        <v>3</v>
      </c>
      <c r="O1">
        <v>4</v>
      </c>
      <c r="P1">
        <v>5</v>
      </c>
      <c r="Q1">
        <v>6</v>
      </c>
    </row>
    <row r="2" spans="1:17">
      <c r="A2">
        <v>1</v>
      </c>
      <c r="B2">
        <v>1728</v>
      </c>
      <c r="C2">
        <v>1026</v>
      </c>
      <c r="D2">
        <v>1638</v>
      </c>
      <c r="E2">
        <v>1422</v>
      </c>
      <c r="F2">
        <v>1496.2</v>
      </c>
      <c r="G2">
        <v>982.4</v>
      </c>
      <c r="H2">
        <v>1738.2</v>
      </c>
      <c r="I2">
        <v>1661.8</v>
      </c>
      <c r="K2" t="s">
        <v>1</v>
      </c>
      <c r="L2">
        <v>1728</v>
      </c>
      <c r="M2">
        <v>2012</v>
      </c>
      <c r="N2">
        <v>1728</v>
      </c>
      <c r="O2">
        <v>1632</v>
      </c>
      <c r="P2">
        <v>1514.4</v>
      </c>
      <c r="Q2">
        <v>1569.5</v>
      </c>
    </row>
    <row r="3" spans="1:17">
      <c r="A3">
        <v>2</v>
      </c>
      <c r="B3">
        <v>2012</v>
      </c>
      <c r="C3">
        <v>164</v>
      </c>
      <c r="D3">
        <v>2092</v>
      </c>
      <c r="E3">
        <v>628</v>
      </c>
      <c r="F3">
        <v>1973.6</v>
      </c>
      <c r="G3">
        <v>-232.8</v>
      </c>
      <c r="H3">
        <v>2649.6</v>
      </c>
      <c r="I3">
        <v>750.4</v>
      </c>
      <c r="K3" t="s">
        <v>2</v>
      </c>
      <c r="L3">
        <v>1026</v>
      </c>
      <c r="M3">
        <v>164</v>
      </c>
      <c r="N3">
        <v>1026</v>
      </c>
      <c r="O3">
        <v>544</v>
      </c>
      <c r="P3">
        <v>688.8</v>
      </c>
      <c r="Q3">
        <v>1499</v>
      </c>
    </row>
    <row r="4" spans="1:17">
      <c r="A4">
        <v>3</v>
      </c>
      <c r="B4">
        <v>1728</v>
      </c>
      <c r="C4">
        <v>1026</v>
      </c>
      <c r="D4">
        <v>1854</v>
      </c>
      <c r="E4">
        <v>1206</v>
      </c>
      <c r="F4">
        <v>1496.2</v>
      </c>
      <c r="G4">
        <v>982.4</v>
      </c>
      <c r="H4">
        <v>2388.6</v>
      </c>
      <c r="I4">
        <v>1011.4</v>
      </c>
      <c r="K4" t="s">
        <v>3</v>
      </c>
      <c r="L4">
        <v>1638</v>
      </c>
      <c r="M4">
        <v>2092</v>
      </c>
      <c r="N4">
        <v>1854</v>
      </c>
      <c r="O4">
        <v>2160</v>
      </c>
      <c r="P4">
        <v>1704</v>
      </c>
      <c r="Q4">
        <v>1479.3</v>
      </c>
    </row>
    <row r="5" spans="1:17">
      <c r="A5">
        <v>4</v>
      </c>
      <c r="B5">
        <v>1632</v>
      </c>
      <c r="C5">
        <v>544</v>
      </c>
      <c r="D5">
        <v>2160</v>
      </c>
      <c r="E5">
        <v>560</v>
      </c>
      <c r="F5">
        <v>1873.6</v>
      </c>
      <c r="G5">
        <v>-132.8</v>
      </c>
      <c r="H5">
        <v>3772</v>
      </c>
      <c r="I5">
        <v>-372</v>
      </c>
      <c r="K5" t="s">
        <v>4</v>
      </c>
      <c r="L5">
        <v>1422</v>
      </c>
      <c r="M5">
        <v>628</v>
      </c>
      <c r="N5">
        <v>1206</v>
      </c>
      <c r="O5">
        <v>560</v>
      </c>
      <c r="P5">
        <v>1016</v>
      </c>
      <c r="Q5">
        <v>1750.8</v>
      </c>
    </row>
    <row r="6" spans="1:17">
      <c r="A6">
        <v>5</v>
      </c>
      <c r="B6">
        <v>1514.4</v>
      </c>
      <c r="C6">
        <v>688.8</v>
      </c>
      <c r="D6">
        <v>1704</v>
      </c>
      <c r="E6">
        <v>1016</v>
      </c>
      <c r="F6">
        <v>1574.4</v>
      </c>
      <c r="G6">
        <v>628.8</v>
      </c>
      <c r="H6">
        <v>2184</v>
      </c>
      <c r="I6">
        <v>1216</v>
      </c>
      <c r="K6" t="s">
        <v>5</v>
      </c>
      <c r="L6">
        <v>1496.2</v>
      </c>
      <c r="M6">
        <v>1973.6</v>
      </c>
      <c r="N6">
        <v>1496.2</v>
      </c>
      <c r="O6">
        <v>1873.6</v>
      </c>
      <c r="P6">
        <v>1574.4</v>
      </c>
      <c r="Q6">
        <v>1213.8</v>
      </c>
    </row>
    <row r="7" spans="1:17">
      <c r="A7">
        <v>6</v>
      </c>
      <c r="B7">
        <v>1569.5</v>
      </c>
      <c r="C7">
        <v>1499</v>
      </c>
      <c r="D7">
        <v>1479.3</v>
      </c>
      <c r="E7">
        <v>1750.8</v>
      </c>
      <c r="F7">
        <v>1213.8</v>
      </c>
      <c r="G7">
        <v>1701.3</v>
      </c>
      <c r="H7">
        <v>1498.5</v>
      </c>
      <c r="I7">
        <v>1901.5</v>
      </c>
      <c r="K7" t="s">
        <v>6</v>
      </c>
      <c r="L7">
        <v>982.4</v>
      </c>
      <c r="M7">
        <v>-232.8</v>
      </c>
      <c r="N7">
        <v>982.4</v>
      </c>
      <c r="O7">
        <v>-132.8</v>
      </c>
      <c r="P7">
        <v>628.8</v>
      </c>
      <c r="Q7">
        <v>1701.3</v>
      </c>
    </row>
    <row r="8" spans="11:17">
      <c r="K8" t="s">
        <v>7</v>
      </c>
      <c r="L8">
        <v>1738.2</v>
      </c>
      <c r="M8">
        <v>2649.6</v>
      </c>
      <c r="N8">
        <v>2388.6</v>
      </c>
      <c r="O8">
        <v>3772</v>
      </c>
      <c r="P8">
        <v>2184</v>
      </c>
      <c r="Q8">
        <v>1498.5</v>
      </c>
    </row>
    <row r="9" spans="1:17">
      <c r="A9" t="s">
        <v>0</v>
      </c>
      <c r="B9" t="s">
        <v>9</v>
      </c>
      <c r="C9" t="s">
        <v>10</v>
      </c>
      <c r="D9" t="s">
        <v>11</v>
      </c>
      <c r="E9" t="s">
        <v>12</v>
      </c>
      <c r="K9" t="s">
        <v>8</v>
      </c>
      <c r="L9">
        <v>1661.8</v>
      </c>
      <c r="M9">
        <v>750.4</v>
      </c>
      <c r="N9">
        <v>1011.4</v>
      </c>
      <c r="O9">
        <v>-372</v>
      </c>
      <c r="P9">
        <v>1216</v>
      </c>
      <c r="Q9">
        <v>1901.5</v>
      </c>
    </row>
    <row r="10" spans="1:5">
      <c r="A10">
        <v>1</v>
      </c>
      <c r="B10">
        <f t="shared" ref="B10:B15" si="0">C2/B2</f>
        <v>0.59375</v>
      </c>
      <c r="C10">
        <f t="shared" ref="C10:C15" si="1">E2/D2</f>
        <v>0.868131868131868</v>
      </c>
      <c r="D10">
        <f t="shared" ref="D10:D15" si="2">G2/F2</f>
        <v>0.656596711669563</v>
      </c>
      <c r="E10">
        <f t="shared" ref="E10:E15" si="3">I2/H2</f>
        <v>0.956046484869405</v>
      </c>
    </row>
    <row r="11" spans="1:5">
      <c r="A11">
        <v>2</v>
      </c>
      <c r="B11">
        <f t="shared" si="0"/>
        <v>0.0815109343936382</v>
      </c>
      <c r="C11">
        <f t="shared" si="1"/>
        <v>0.30019120458891</v>
      </c>
      <c r="D11">
        <f t="shared" si="2"/>
        <v>-0.117957032833401</v>
      </c>
      <c r="E11">
        <f t="shared" si="3"/>
        <v>0.283212560386473</v>
      </c>
    </row>
    <row r="12" spans="1:5">
      <c r="A12">
        <v>3</v>
      </c>
      <c r="B12">
        <f t="shared" si="0"/>
        <v>0.59375</v>
      </c>
      <c r="C12">
        <f t="shared" si="1"/>
        <v>0.650485436893204</v>
      </c>
      <c r="D12">
        <f t="shared" si="2"/>
        <v>0.656596711669563</v>
      </c>
      <c r="E12">
        <f t="shared" si="3"/>
        <v>0.423427949426442</v>
      </c>
    </row>
    <row r="13" spans="1:5">
      <c r="A13">
        <v>4</v>
      </c>
      <c r="B13">
        <f t="shared" si="0"/>
        <v>0.333333333333333</v>
      </c>
      <c r="C13">
        <f t="shared" si="1"/>
        <v>0.259259259259259</v>
      </c>
      <c r="D13">
        <f t="shared" si="2"/>
        <v>-0.0708795900939368</v>
      </c>
      <c r="E13">
        <f t="shared" si="3"/>
        <v>-0.0986214209968187</v>
      </c>
    </row>
    <row r="14" spans="1:5">
      <c r="A14">
        <v>5</v>
      </c>
      <c r="B14">
        <f t="shared" si="0"/>
        <v>0.454833597464342</v>
      </c>
      <c r="C14">
        <f t="shared" si="1"/>
        <v>0.596244131455399</v>
      </c>
      <c r="D14">
        <f t="shared" si="2"/>
        <v>0.399390243902439</v>
      </c>
      <c r="E14">
        <f t="shared" si="3"/>
        <v>0.556776556776557</v>
      </c>
    </row>
    <row r="15" spans="1:5">
      <c r="A15">
        <v>6</v>
      </c>
      <c r="B15">
        <f t="shared" si="0"/>
        <v>0.95508123606244</v>
      </c>
      <c r="C15">
        <f t="shared" si="1"/>
        <v>1.18353275197729</v>
      </c>
      <c r="D15">
        <f t="shared" si="2"/>
        <v>1.40163124073159</v>
      </c>
      <c r="E15">
        <f t="shared" si="3"/>
        <v>1.26893560226894</v>
      </c>
    </row>
    <row r="17" spans="1:5">
      <c r="A17" t="s">
        <v>0</v>
      </c>
      <c r="B17" t="s">
        <v>13</v>
      </c>
      <c r="C17" t="s">
        <v>14</v>
      </c>
      <c r="D17" t="s">
        <v>15</v>
      </c>
      <c r="E17" t="s">
        <v>16</v>
      </c>
    </row>
    <row r="18" spans="1:5">
      <c r="A18">
        <v>1</v>
      </c>
      <c r="B18" t="s">
        <v>17</v>
      </c>
      <c r="C18" t="s">
        <v>17</v>
      </c>
      <c r="D18" t="s">
        <v>18</v>
      </c>
      <c r="E18" t="s">
        <v>17</v>
      </c>
    </row>
    <row r="19" spans="1:5">
      <c r="A19">
        <v>2</v>
      </c>
      <c r="B19" t="s">
        <v>17</v>
      </c>
      <c r="C19" t="s">
        <v>17</v>
      </c>
      <c r="D19" t="s">
        <v>18</v>
      </c>
      <c r="E19" t="s">
        <v>17</v>
      </c>
    </row>
    <row r="20" spans="1:5">
      <c r="A20">
        <v>3</v>
      </c>
      <c r="B20" t="s">
        <v>18</v>
      </c>
      <c r="C20" t="s">
        <v>18</v>
      </c>
      <c r="D20" t="s">
        <v>17</v>
      </c>
      <c r="E20" t="s">
        <v>17</v>
      </c>
    </row>
    <row r="21" spans="1:5">
      <c r="A21">
        <v>4</v>
      </c>
      <c r="B21" t="s">
        <v>17</v>
      </c>
      <c r="C21" t="s">
        <v>17</v>
      </c>
      <c r="D21" t="s">
        <v>17</v>
      </c>
      <c r="E21" t="s">
        <v>17</v>
      </c>
    </row>
    <row r="22" spans="1:5">
      <c r="A22">
        <v>5</v>
      </c>
      <c r="B22" t="s">
        <v>18</v>
      </c>
      <c r="C22" t="s">
        <v>17</v>
      </c>
      <c r="D22" t="s">
        <v>18</v>
      </c>
      <c r="E22" t="s">
        <v>17</v>
      </c>
    </row>
    <row r="23" spans="1:5">
      <c r="A23">
        <v>6</v>
      </c>
      <c r="B23" t="s">
        <v>18</v>
      </c>
      <c r="C23" t="s">
        <v>18</v>
      </c>
      <c r="D23" t="s">
        <v>17</v>
      </c>
      <c r="E23" t="s">
        <v>18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金宇 高</dc:creator>
  <cp:lastModifiedBy>WPS_1693986910</cp:lastModifiedBy>
  <dcterms:created xsi:type="dcterms:W3CDTF">2024-09-07T00:50:00Z</dcterms:created>
  <dcterms:modified xsi:type="dcterms:W3CDTF">2024-09-08T07:46:06Z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1D1171196F6D492798512224EA28E7E0_13</vt:lpwstr>
  </property>
  <property fmtid="{D5CDD505-2E9C-101B-9397-08002B2CF9AE}" pid="3" name="KSOProductBuildVer">
    <vt:lpwstr>2052-12.1.0.17827</vt:lpwstr>
  </property>
</Properties>
</file>